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Documentos\"/>
    </mc:Choice>
  </mc:AlternateContent>
  <xr:revisionPtr revIDLastSave="0" documentId="13_ncr:1_{DEC250F1-BF26-415B-8F6E-AFB2A90A5D73}" xr6:coauthVersionLast="47" xr6:coauthVersionMax="47" xr10:uidLastSave="{00000000-0000-0000-0000-000000000000}"/>
  <bookViews>
    <workbookView xWindow="-120" yWindow="-120" windowWidth="20730" windowHeight="11040" xr2:uid="{7BFB5F9C-2FBC-4F7E-A69C-6F361D2E4C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13" i="1" a="1"/>
  <c r="G13" i="1" s="1"/>
  <c r="G21" i="1" s="1"/>
  <c r="G9" i="1"/>
  <c r="G17" i="1" s="1"/>
  <c r="G18" i="1" l="1" a="1"/>
  <c r="G18" i="1" s="1"/>
  <c r="G10" i="1"/>
  <c r="G22" i="1" s="1"/>
  <c r="G26" i="1"/>
  <c r="G27" i="1" s="1"/>
  <c r="G28" i="1" s="1"/>
  <c r="G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<sst xmlns="http://schemas.openxmlformats.org/spreadsheetml/2006/main" count="27" uniqueCount="25">
  <si>
    <t>INTEGRACIÓN NUMÉRICA - DISTANCIA RECORRIDA</t>
  </si>
  <si>
    <t>MEDICIONES DE VELOCIDAD</t>
  </si>
  <si>
    <t>Tiempo (h)</t>
  </si>
  <si>
    <t>Velocidad (km/h)</t>
  </si>
  <si>
    <t>PARÁMETROS DE CÁLCULO</t>
  </si>
  <si>
    <t>Intervalo entre mediciones (Δt):</t>
  </si>
  <si>
    <t>Unidad:</t>
  </si>
  <si>
    <t>horas</t>
  </si>
  <si>
    <t>CÁLCULOS BÁSICOS</t>
  </si>
  <si>
    <t>Número de mediciones (n):</t>
  </si>
  <si>
    <t>Tiempo total (horas):</t>
  </si>
  <si>
    <t>MÉTODO DEL TRAPECIO</t>
  </si>
  <si>
    <t>Distancia total (km):</t>
  </si>
  <si>
    <t>Velocidad promedio (km/h):</t>
  </si>
  <si>
    <t>MÉTODO DE SIMPSON 1/3</t>
  </si>
  <si>
    <t>Aplicabilidad:</t>
  </si>
  <si>
    <t>RESULTADO FINAL</t>
  </si>
  <si>
    <t>ANÁLISIS DEL VIAJE</t>
  </si>
  <si>
    <t>Velocidad máxima:</t>
  </si>
  <si>
    <t>Tiempo a velocidad máxima:</t>
  </si>
  <si>
    <t>Aceleración promedio (km/h²):</t>
  </si>
  <si>
    <t>Distancia de frenado (km):</t>
  </si>
  <si>
    <t>Distancia total recorrida (km):</t>
  </si>
  <si>
    <t xml:space="preserve">&lt; -- Si gusta puede agregar </t>
  </si>
  <si>
    <t xml:space="preserve">          mas datos en las filas vacias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</si>
</sst>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F2D9-766A-4AB2-BFE4-E48AC08B2B52}">
  <dimension ref="B2:G28"/>
  <sheetViews>
    <sheetView tabSelected="1" zoomScale="74" workbookViewId="0">
      <selection activeCell="N23" sqref="N23"/>
    </sheetView>
  </sheetViews>
  <sheetFormatPr baseColWidth="10" defaultRowHeight="15" x14ac:dyDescent="0.25"/>
  <cols>
    <col min="2" max="2" width="16.42578125" customWidth="1"/>
    <col min="3" max="3" width="17.28515625" customWidth="1"/>
    <col min="5" max="5" width="18.5703125" customWidth="1"/>
    <col min="6" max="6" width="30.5703125" customWidth="1"/>
    <col min="7" max="7" width="16.7109375" customWidth="1"/>
  </cols>
  <sheetData>
    <row r="2" spans="2:7" ht="15.75" x14ac:dyDescent="0.25">
      <c r="B2" s="5" t="s">
        <v>0</v>
      </c>
      <c r="C2" s="5"/>
      <c r="D2" s="5"/>
      <c r="E2" s="5"/>
      <c r="F2" s="5"/>
      <c r="G2" s="5"/>
    </row>
    <row r="4" spans="2:7" x14ac:dyDescent="0.25">
      <c r="B4" s="7" t="s">
        <v>1</v>
      </c>
      <c r="C4" s="7"/>
      <c r="F4" s="4" t="s">
        <v>4</v>
      </c>
    </row>
    <row r="5" spans="2:7" x14ac:dyDescent="0.25">
      <c r="B5" s="6" t="s">
        <v>2</v>
      </c>
      <c r="C5" s="6" t="s">
        <v>3</v>
      </c>
      <c r="F5" s="2" t="s">
        <v>5</v>
      </c>
      <c r="G5" s="2">
        <v>0.5</v>
      </c>
    </row>
    <row r="6" spans="2:7" x14ac:dyDescent="0.25">
      <c r="B6" s="2">
        <v>0</v>
      </c>
      <c r="C6" s="2">
        <v>0</v>
      </c>
      <c r="F6" s="2" t="s">
        <v>6</v>
      </c>
      <c r="G6" s="2" t="s">
        <v>7</v>
      </c>
    </row>
    <row r="7" spans="2:7" x14ac:dyDescent="0.25">
      <c r="B7" s="2">
        <v>0.5</v>
      </c>
      <c r="C7" s="2">
        <v>20</v>
      </c>
    </row>
    <row r="8" spans="2:7" x14ac:dyDescent="0.25">
      <c r="B8" s="2">
        <v>1</v>
      </c>
      <c r="C8" s="2">
        <v>40</v>
      </c>
      <c r="F8" s="4" t="s">
        <v>8</v>
      </c>
    </row>
    <row r="9" spans="2:7" x14ac:dyDescent="0.25">
      <c r="B9" s="2">
        <v>1.5</v>
      </c>
      <c r="C9" s="2">
        <v>60</v>
      </c>
      <c r="F9" s="2" t="s">
        <v>9</v>
      </c>
      <c r="G9" s="2">
        <f>COUNT(C6:C22)</f>
        <v>12</v>
      </c>
    </row>
    <row r="10" spans="2:7" x14ac:dyDescent="0.25">
      <c r="B10" s="2">
        <v>2</v>
      </c>
      <c r="C10" s="2">
        <v>80</v>
      </c>
      <c r="F10" s="2" t="s">
        <v>10</v>
      </c>
      <c r="G10" s="2">
        <f>(G9-1)*G5</f>
        <v>5.5</v>
      </c>
    </row>
    <row r="11" spans="2:7" x14ac:dyDescent="0.25">
      <c r="B11" s="2">
        <v>2.5</v>
      </c>
      <c r="C11" s="2">
        <v>100</v>
      </c>
    </row>
    <row r="12" spans="2:7" x14ac:dyDescent="0.25">
      <c r="B12" s="2">
        <v>3</v>
      </c>
      <c r="C12" s="2">
        <v>90</v>
      </c>
      <c r="F12" s="4" t="s">
        <v>11</v>
      </c>
    </row>
    <row r="13" spans="2:7" x14ac:dyDescent="0.25">
      <c r="B13" s="2">
        <v>3.5</v>
      </c>
      <c r="C13" s="2">
        <v>70</v>
      </c>
      <c r="F13" s="2" t="s">
        <v>12</v>
      </c>
      <c r="G13" s="2" cm="1">
        <f t="array" ref="G13">ROUND((G5/2)*(C6+INDEX(C6:C22,G9)+2*SUM(INDEX(C6:C22,2):INDEX(C6:C22,G9-1))), 2)</f>
        <v>275</v>
      </c>
    </row>
    <row r="14" spans="2:7" x14ac:dyDescent="0.25">
      <c r="B14" s="2">
        <v>4</v>
      </c>
      <c r="C14" s="2">
        <v>50</v>
      </c>
      <c r="F14" s="2" t="s">
        <v>13</v>
      </c>
      <c r="G14" s="2">
        <f>ROUND(G13/G10, 2)</f>
        <v>50</v>
      </c>
    </row>
    <row r="15" spans="2:7" x14ac:dyDescent="0.25">
      <c r="B15" s="2">
        <v>4.5</v>
      </c>
      <c r="C15" s="2">
        <v>30</v>
      </c>
    </row>
    <row r="16" spans="2:7" x14ac:dyDescent="0.25">
      <c r="B16" s="2">
        <v>5</v>
      </c>
      <c r="C16" s="2">
        <v>10</v>
      </c>
      <c r="F16" s="3" t="s">
        <v>14</v>
      </c>
    </row>
    <row r="17" spans="2:7" x14ac:dyDescent="0.25">
      <c r="B17" s="2">
        <v>5.5</v>
      </c>
      <c r="C17" s="2">
        <v>0</v>
      </c>
      <c r="F17" s="2" t="s">
        <v>15</v>
      </c>
      <c r="G17" s="2" t="str">
        <f>IF(MOD(G9,2)=1, "Aplica (n impar)", "No aplica (n par)")</f>
        <v>No aplica (n par)</v>
      </c>
    </row>
    <row r="18" spans="2:7" x14ac:dyDescent="0.25">
      <c r="B18" s="2"/>
      <c r="C18" s="2"/>
      <c r="D18" t="s">
        <v>23</v>
      </c>
      <c r="F18" s="2" t="s">
        <v>12</v>
      </c>
      <c r="G18" s="2" t="str" cm="1">
        <f t="array" ref="G18">IF(MOD(G9,2)=1, ROUND((G5/3)*(C6+INDEX(C6:C22,G9)+4*SUM(INDEX(C6:C22,2):INDEX(C6:C22,G9-1),2)+2*SUM(INDEX(C6:C22,3):INDEX(C6:C22,G9-2),2)), 2), "-")</f>
        <v>-</v>
      </c>
    </row>
    <row r="19" spans="2:7" x14ac:dyDescent="0.25">
      <c r="B19" s="2"/>
      <c r="C19" s="2"/>
      <c r="D19" t="s">
        <v>24</v>
      </c>
    </row>
    <row r="20" spans="2:7" x14ac:dyDescent="0.25">
      <c r="B20" s="2"/>
      <c r="C20" s="2"/>
      <c r="F20" s="3" t="s">
        <v>16</v>
      </c>
    </row>
    <row r="21" spans="2:7" x14ac:dyDescent="0.25">
      <c r="B21" s="2"/>
      <c r="C21" s="2"/>
      <c r="F21" s="1" t="s">
        <v>22</v>
      </c>
      <c r="G21" s="1">
        <f>IF(MOD(G9,2)=1, ROUND((G13+G18)/2, 2), G13)</f>
        <v>275</v>
      </c>
    </row>
    <row r="22" spans="2:7" x14ac:dyDescent="0.25">
      <c r="F22" s="1" t="s">
        <v>13</v>
      </c>
      <c r="G22" s="1">
        <f>ROUND(G21/G10, 2)</f>
        <v>50</v>
      </c>
    </row>
    <row r="24" spans="2:7" x14ac:dyDescent="0.25">
      <c r="F24" s="4" t="s">
        <v>17</v>
      </c>
    </row>
    <row r="25" spans="2:7" x14ac:dyDescent="0.25">
      <c r="F25" s="2" t="s">
        <v>18</v>
      </c>
      <c r="G25" s="2">
        <f>MAX(C6:C22)</f>
        <v>100</v>
      </c>
    </row>
    <row r="26" spans="2:7" x14ac:dyDescent="0.25">
      <c r="F26" s="2" t="s">
        <v>19</v>
      </c>
      <c r="G26" s="2">
        <f>INDEX(B6:B22, MATCH(G25, C6:C22, 0))</f>
        <v>2.5</v>
      </c>
    </row>
    <row r="27" spans="2:7" x14ac:dyDescent="0.25">
      <c r="F27" s="2" t="s">
        <v>20</v>
      </c>
      <c r="G27" s="2">
        <f>ROUND((G25-C6)/(G26-B6), 2)</f>
        <v>40</v>
      </c>
    </row>
    <row r="28" spans="2:7" x14ac:dyDescent="0.25">
      <c r="F28" s="2" t="s">
        <v>21</v>
      </c>
      <c r="G28" s="2">
        <f>ROUND(G25^2/(2*ABS(G27)),2)</f>
        <v>125</v>
      </c>
    </row>
  </sheetData>
  <mergeCells count="2">
    <mergeCell ref="B2:G2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2025-12-10T20:34:20Z</dcterms:created>
  <dcterms:modified xsi:type="dcterms:W3CDTF">2025-12-10T21:34:44Z</dcterms:modified>
</cp:coreProperties>
</file>