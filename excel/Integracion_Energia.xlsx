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Documentos\"/>
    </mc:Choice>
  </mc:AlternateContent>
  <xr:revisionPtr revIDLastSave="0" documentId="13_ncr:1_{B5FAC87F-23B3-4358-AC80-83804ABDF851}" xr6:coauthVersionLast="47" xr6:coauthVersionMax="47" xr10:uidLastSave="{00000000-0000-0000-0000-000000000000}"/>
  <bookViews>
    <workbookView xWindow="-120" yWindow="-120" windowWidth="20730" windowHeight="11040" xr2:uid="{DC6773A3-71E7-4DF8-897B-CE95670BC0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8" i="1"/>
  <c r="G26" i="1"/>
  <c r="G27" i="1" s="1"/>
  <c r="G14" i="1"/>
  <c r="G9" i="1"/>
  <c r="G19" i="1" s="1"/>
  <c r="G21" i="1" l="1"/>
  <c r="G10" i="1"/>
  <c r="G18" i="1" a="1"/>
  <c r="G18" i="1" s="1"/>
  <c r="G24" i="1"/>
  <c r="G25" i="1" s="1"/>
  <c r="G29" i="1" s="1"/>
  <c r="G13" i="1" a="1"/>
  <c r="G13" i="1" s="1"/>
  <c r="G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<sst xmlns="http://schemas.openxmlformats.org/spreadsheetml/2006/main" count="29" uniqueCount="29">
  <si>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INTEGRACIÓN NUMÉRICA - CONSUMO DE ENERGÍA</t>
  </si>
  <si>
    <t>MEDICIONES DE CONSUMO</t>
  </si>
  <si>
    <t>Hora</t>
  </si>
  <si>
    <t>Potencia (kW)</t>
  </si>
  <si>
    <t>PARÁMETROS DE CÁLCULO</t>
  </si>
  <si>
    <t>Intervalo entre mediciones (Δt):</t>
  </si>
  <si>
    <t>Unidades:</t>
  </si>
  <si>
    <t>horas</t>
  </si>
  <si>
    <t>CÁLCULOS BÁSICOS</t>
  </si>
  <si>
    <t>Número de mediciones (n):</t>
  </si>
  <si>
    <t>Período total (horas):</t>
  </si>
  <si>
    <t>MÉTODO DEL TRAPECIO</t>
  </si>
  <si>
    <t>Suma de extremos:</t>
  </si>
  <si>
    <t>Suma de puntos intermedios:</t>
  </si>
  <si>
    <t xml:space="preserve">	Área bajo la curva (kWh):</t>
  </si>
  <si>
    <t>MÉTODO DE SIMPSON 1/3</t>
  </si>
  <si>
    <t>Suma extremos (f₀+fₙ):</t>
  </si>
  <si>
    <t>Suma índices impares (4*Σ):</t>
  </si>
  <si>
    <t>Suma índices pares (2*Σ):</t>
  </si>
  <si>
    <t>Área bajo la curva (kWh):</t>
  </si>
  <si>
    <t>ANÁLISIS DE RESULTADOS</t>
  </si>
  <si>
    <t>Consumo total (promedio métodos):</t>
  </si>
  <si>
    <t>Consumo promedio por hora:</t>
  </si>
  <si>
    <t>Pico de consumo:</t>
  </si>
  <si>
    <t>Hora del pico:</t>
  </si>
  <si>
    <t>Consumo mínimo:</t>
  </si>
  <si>
    <t>Factor de carga:</t>
  </si>
  <si>
    <t xml:space="preserve">&lt; -- Si gusta puede agregar </t>
  </si>
  <si>
    <t xml:space="preserve">          mas datos en las filas 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</si>
</sst>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FFC8-01AE-4F0C-922E-1CE2CF156821}">
  <dimension ref="B2:G29"/>
  <sheetViews>
    <sheetView tabSelected="1" zoomScale="76" workbookViewId="0">
      <selection activeCell="I12" sqref="I12"/>
    </sheetView>
  </sheetViews>
  <sheetFormatPr baseColWidth="10" defaultRowHeight="15" x14ac:dyDescent="0.25"/>
  <cols>
    <col min="2" max="2" width="24.5703125" customWidth="1"/>
    <col min="3" max="3" width="14.42578125" customWidth="1"/>
    <col min="5" max="5" width="16.28515625" customWidth="1"/>
    <col min="6" max="6" width="30.140625" customWidth="1"/>
    <col min="7" max="7" width="15.7109375" customWidth="1"/>
  </cols>
  <sheetData>
    <row r="2" spans="2:7" ht="15.75" x14ac:dyDescent="0.25">
      <c r="B2" s="6" t="s">
        <v>0</v>
      </c>
      <c r="C2" s="6"/>
      <c r="D2" s="6"/>
      <c r="E2" s="6"/>
      <c r="F2" s="6"/>
    </row>
    <row r="4" spans="2:7" x14ac:dyDescent="0.25">
      <c r="B4" s="4" t="s">
        <v>1</v>
      </c>
      <c r="F4" s="4" t="s">
        <v>4</v>
      </c>
    </row>
    <row r="5" spans="2:7" x14ac:dyDescent="0.25">
      <c r="B5" s="5" t="s">
        <v>2</v>
      </c>
      <c r="C5" s="5" t="s">
        <v>3</v>
      </c>
      <c r="F5" s="2" t="s">
        <v>5</v>
      </c>
      <c r="G5" s="2">
        <v>2</v>
      </c>
    </row>
    <row r="6" spans="2:7" x14ac:dyDescent="0.25">
      <c r="B6" s="2">
        <v>0</v>
      </c>
      <c r="C6" s="2">
        <v>1.2</v>
      </c>
      <c r="F6" s="2" t="s">
        <v>6</v>
      </c>
      <c r="G6" s="2" t="s">
        <v>7</v>
      </c>
    </row>
    <row r="7" spans="2:7" x14ac:dyDescent="0.25">
      <c r="B7" s="2">
        <v>2</v>
      </c>
      <c r="C7" s="2">
        <v>1.5</v>
      </c>
    </row>
    <row r="8" spans="2:7" x14ac:dyDescent="0.25">
      <c r="B8" s="2">
        <v>4</v>
      </c>
      <c r="C8" s="2">
        <v>2</v>
      </c>
      <c r="F8" s="4" t="s">
        <v>8</v>
      </c>
    </row>
    <row r="9" spans="2:7" x14ac:dyDescent="0.25">
      <c r="B9" s="2">
        <v>6</v>
      </c>
      <c r="C9" s="2">
        <v>2.8</v>
      </c>
      <c r="F9" s="2" t="s">
        <v>9</v>
      </c>
      <c r="G9" s="2">
        <f>COUNT(C6:C22)</f>
        <v>12</v>
      </c>
    </row>
    <row r="10" spans="2:7" x14ac:dyDescent="0.25">
      <c r="B10" s="2">
        <v>8</v>
      </c>
      <c r="C10" s="2">
        <v>3.5</v>
      </c>
      <c r="F10" s="2" t="s">
        <v>10</v>
      </c>
      <c r="G10" s="2">
        <f>(G9-1)*G5</f>
        <v>22</v>
      </c>
    </row>
    <row r="11" spans="2:7" x14ac:dyDescent="0.25">
      <c r="B11" s="2">
        <v>10</v>
      </c>
      <c r="C11" s="2">
        <v>4.2</v>
      </c>
    </row>
    <row r="12" spans="2:7" x14ac:dyDescent="0.25">
      <c r="B12" s="2">
        <v>12</v>
      </c>
      <c r="C12" s="2">
        <v>5</v>
      </c>
      <c r="F12" s="4" t="s">
        <v>11</v>
      </c>
    </row>
    <row r="13" spans="2:7" x14ac:dyDescent="0.25">
      <c r="B13" s="2">
        <v>14</v>
      </c>
      <c r="C13" s="2">
        <v>4.8</v>
      </c>
      <c r="F13" s="2" t="s">
        <v>12</v>
      </c>
      <c r="G13" s="2" cm="1">
        <f t="array" ref="G13">C6+INDEX(C6:C22,G9)</f>
        <v>3</v>
      </c>
    </row>
    <row r="14" spans="2:7" x14ac:dyDescent="0.25">
      <c r="B14" s="2">
        <v>16</v>
      </c>
      <c r="C14" s="2">
        <v>4</v>
      </c>
      <c r="F14" s="2" t="s">
        <v>13</v>
      </c>
      <c r="G14" s="2">
        <f>2*SUM(INDEX(C6:C21,2):INDEX(C6:C21,G9-1))</f>
        <v>67</v>
      </c>
    </row>
    <row r="15" spans="2:7" x14ac:dyDescent="0.25">
      <c r="B15" s="2">
        <v>18</v>
      </c>
      <c r="C15" s="2">
        <v>3.2</v>
      </c>
      <c r="F15" s="2" t="s">
        <v>14</v>
      </c>
      <c r="G15" s="2">
        <f>ROUND((G5/2)*(G13+G14), 2)</f>
        <v>70</v>
      </c>
    </row>
    <row r="16" spans="2:7" x14ac:dyDescent="0.25">
      <c r="B16" s="2">
        <v>20</v>
      </c>
      <c r="C16" s="2">
        <v>2.5</v>
      </c>
    </row>
    <row r="17" spans="2:7" x14ac:dyDescent="0.25">
      <c r="B17" s="2">
        <v>22</v>
      </c>
      <c r="C17" s="2">
        <v>1.8</v>
      </c>
      <c r="F17" s="4" t="s">
        <v>15</v>
      </c>
    </row>
    <row r="18" spans="2:7" x14ac:dyDescent="0.25">
      <c r="B18" s="2"/>
      <c r="C18" s="2"/>
      <c r="D18" t="s">
        <v>27</v>
      </c>
      <c r="F18" s="2" t="s">
        <v>16</v>
      </c>
      <c r="G18" s="2" t="str" cm="1">
        <f t="array" ref="G18">IF(MOD(G9,2)=1, C6+INDEX(C6:C21,G9), "n debe ser impar")</f>
        <v>n debe ser impar</v>
      </c>
    </row>
    <row r="19" spans="2:7" x14ac:dyDescent="0.25">
      <c r="B19" s="2"/>
      <c r="C19" s="2"/>
      <c r="D19" t="s">
        <v>28</v>
      </c>
      <c r="F19" s="2" t="s">
        <v>17</v>
      </c>
      <c r="G19" s="2" t="b">
        <f>IF(MOD(G9,2)=1,4*SUM(INDEX(C6:C21,2):INDEX(C6:C21,G9-1,2),"-"))</f>
        <v>0</v>
      </c>
    </row>
    <row r="20" spans="2:7" x14ac:dyDescent="0.25">
      <c r="B20" s="2"/>
      <c r="C20" s="2"/>
      <c r="F20" s="2" t="s">
        <v>18</v>
      </c>
      <c r="G20" s="2">
        <f>2*SUM(INDEX(C6:C21,3):INDEX(C6:C21,G9-2))</f>
        <v>59</v>
      </c>
    </row>
    <row r="21" spans="2:7" x14ac:dyDescent="0.25">
      <c r="B21" s="2"/>
      <c r="C21" s="2"/>
      <c r="F21" s="2" t="s">
        <v>19</v>
      </c>
      <c r="G21" s="2" t="str">
        <f>IF(MOD(G9,2)=1, ROUND((G5/3)*(G18+G19+G20),2), "No aplica (n par)")</f>
        <v>No aplica (n par)</v>
      </c>
    </row>
    <row r="23" spans="2:7" x14ac:dyDescent="0.25">
      <c r="F23" s="3" t="s">
        <v>20</v>
      </c>
    </row>
    <row r="24" spans="2:7" x14ac:dyDescent="0.25">
      <c r="F24" s="1" t="s">
        <v>21</v>
      </c>
      <c r="G24" s="1">
        <f>IF(MOD(G9,2)=1, ROUND((G15+G21)/2, 2), G15)</f>
        <v>70</v>
      </c>
    </row>
    <row r="25" spans="2:7" x14ac:dyDescent="0.25">
      <c r="F25" s="1" t="s">
        <v>22</v>
      </c>
      <c r="G25" s="1">
        <f>ROUND(G24/G10, 2)</f>
        <v>3.18</v>
      </c>
    </row>
    <row r="26" spans="2:7" x14ac:dyDescent="0.25">
      <c r="F26" s="2" t="s">
        <v>23</v>
      </c>
      <c r="G26" s="2">
        <f>MAX(C6:C21)</f>
        <v>5</v>
      </c>
    </row>
    <row r="27" spans="2:7" x14ac:dyDescent="0.25">
      <c r="F27" s="2" t="s">
        <v>24</v>
      </c>
      <c r="G27" s="2">
        <f>INDEX(B6:B21, MATCH(G26, C6:C21, 0))</f>
        <v>12</v>
      </c>
    </row>
    <row r="28" spans="2:7" x14ac:dyDescent="0.25">
      <c r="F28" s="2" t="s">
        <v>25</v>
      </c>
      <c r="G28" s="2">
        <f>MIN(C6:C21)</f>
        <v>1.2</v>
      </c>
    </row>
    <row r="29" spans="2:7" x14ac:dyDescent="0.25">
      <c r="F29" s="2" t="s">
        <v>26</v>
      </c>
      <c r="G29" s="2">
        <f>ROUND(G25/G26*100, 1)</f>
        <v>63.6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2025-12-10T20:33:50Z</dcterms:created>
  <dcterms:modified xsi:type="dcterms:W3CDTF">2025-12-10T21:12:04Z</dcterms:modified>
</cp:coreProperties>
</file>