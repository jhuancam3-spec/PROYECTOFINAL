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Escritorio\PROYECTOFINAL\"/>
    </mc:Choice>
  </mc:AlternateContent>
  <xr:revisionPtr revIDLastSave="0" documentId="13_ncr:1_{21711E89-24F6-4A64-802C-179FF3D492A0}" xr6:coauthVersionLast="47" xr6:coauthVersionMax="47" xr10:uidLastSave="{00000000-0000-0000-0000-000000000000}"/>
  <bookViews>
    <workbookView xWindow="-120" yWindow="-120" windowWidth="20730" windowHeight="11040" xr2:uid="{44D4291F-3556-41BD-A7BF-6854658DD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8" i="1"/>
  <c r="C19" i="1"/>
  <c r="F16" i="1"/>
  <c r="D28" i="1"/>
  <c r="C28" i="1"/>
  <c r="D22" i="1"/>
  <c r="C22" i="1"/>
  <c r="B22" i="1"/>
  <c r="E16" i="1"/>
  <c r="D16" i="1"/>
  <c r="C16" i="1"/>
  <c r="C12" i="1"/>
  <c r="B24" i="1" l="1"/>
  <c r="C13" i="1"/>
</calcChain>
</file>

<file path=xl/sharedStrings.xml><?xml version="1.0" encoding="utf-8"?>
<sst xmlns="http://schemas.openxmlformats.org/spreadsheetml/2006/main" count="22" uniqueCount="22">
  <si>
    <t>INTERPOLACIÓN DE LAGRANGE</t>
  </si>
  <si>
    <t>PUNTOS CONOCIDOS</t>
  </si>
  <si>
    <t>x</t>
  </si>
  <si>
    <t>y=f(x)</t>
  </si>
  <si>
    <t>VALOR X A INTERPOLAR</t>
  </si>
  <si>
    <t>CÁLCULOS INTERMEDIOS</t>
  </si>
  <si>
    <t>Número de puntos (n):</t>
  </si>
  <si>
    <t>Grado del polinomio:</t>
  </si>
  <si>
    <t>CÁLCULO DE COEFICIENTES Lᵢ</t>
  </si>
  <si>
    <t>L₁(x)</t>
  </si>
  <si>
    <t>L₂(x)</t>
  </si>
  <si>
    <t>L₃(x)</t>
  </si>
  <si>
    <t>Valor en X=</t>
  </si>
  <si>
    <t>RESULTADO DE INTERPOLACIÓN</t>
  </si>
  <si>
    <t>POLINOMIO DE LAGRANGE</t>
  </si>
  <si>
    <t>Polinomio completo</t>
  </si>
  <si>
    <t>Valor interpolado Y = P(2,5):</t>
  </si>
  <si>
    <t>Simplificación de los coeficientes numéricos</t>
  </si>
  <si>
    <t>a</t>
  </si>
  <si>
    <t>b</t>
  </si>
  <si>
    <t>c</t>
  </si>
  <si>
    <t>Polinomio interpolante de Lagrange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</si>
</sst>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6212-43F6-4892-AE06-590D77989FBD}">
  <dimension ref="B2:G28"/>
  <sheetViews>
    <sheetView tabSelected="1" zoomScale="76" zoomScaleNormal="92" workbookViewId="0">
      <selection activeCell="C19" sqref="C19"/>
    </sheetView>
  </sheetViews>
  <sheetFormatPr baseColWidth="10" defaultRowHeight="15" x14ac:dyDescent="0.25"/>
  <cols>
    <col min="2" max="2" width="29.28515625" customWidth="1"/>
    <col min="3" max="3" width="27.42578125" customWidth="1"/>
    <col min="4" max="4" width="20" customWidth="1"/>
    <col min="5" max="5" width="20.140625" customWidth="1"/>
    <col min="6" max="6" width="13.140625" customWidth="1"/>
    <col min="7" max="7" width="12.42578125" customWidth="1"/>
    <col min="8" max="8" width="22.7109375" customWidth="1"/>
    <col min="9" max="9" width="23" customWidth="1"/>
    <col min="10" max="10" width="76.85546875" customWidth="1"/>
    <col min="11" max="11" width="12.85546875" customWidth="1"/>
    <col min="12" max="12" width="13" customWidth="1"/>
    <col min="13" max="13" width="13.140625" customWidth="1"/>
    <col min="14" max="14" width="43.7109375" customWidth="1"/>
  </cols>
  <sheetData>
    <row r="2" spans="2:7" ht="15.75" x14ac:dyDescent="0.25">
      <c r="B2" s="14" t="s">
        <v>0</v>
      </c>
      <c r="C2" s="14"/>
      <c r="D2" s="14"/>
      <c r="E2" s="14"/>
      <c r="F2" s="14"/>
      <c r="G2" s="14"/>
    </row>
    <row r="4" spans="2:7" x14ac:dyDescent="0.25">
      <c r="B4" s="5" t="s">
        <v>1</v>
      </c>
    </row>
    <row r="5" spans="2:7" x14ac:dyDescent="0.25">
      <c r="B5" s="4" t="s">
        <v>2</v>
      </c>
      <c r="C5" s="4" t="s">
        <v>3</v>
      </c>
      <c r="E5" s="6" t="s">
        <v>4</v>
      </c>
      <c r="F5" s="2">
        <v>2.5</v>
      </c>
    </row>
    <row r="6" spans="2:7" x14ac:dyDescent="0.25">
      <c r="B6" s="2">
        <v>1</v>
      </c>
      <c r="C6" s="2">
        <v>2</v>
      </c>
    </row>
    <row r="7" spans="2:7" x14ac:dyDescent="0.25">
      <c r="B7" s="2">
        <v>3</v>
      </c>
      <c r="C7" s="2">
        <v>5</v>
      </c>
      <c r="E7" s="3" t="s">
        <v>21</v>
      </c>
      <c r="F7" s="3"/>
    </row>
    <row r="8" spans="2:7" x14ac:dyDescent="0.25">
      <c r="B8" s="2">
        <v>5</v>
      </c>
      <c r="C8" s="2">
        <v>8</v>
      </c>
      <c r="E8" s="10" t="str">
        <f xml:space="preserve"> ROUND(B28,4) &amp; "*(x-" &amp; B7 &amp; ")*(x-" &amp; B8 &amp; ") + " &amp; ROUND(C28,4) &amp; "*(x-" &amp; B6 &amp; ")*(x-" &amp; B8 &amp; ") + " &amp; ROUND(D28,4) &amp; "*(x-" &amp; B6 &amp; ")*(x-" &amp; B7 &amp; ")"</f>
        <v>0,25*(x-3)*(x-5) + -1,25*(x-1)*(x-5) + 1*(x-1)*(x-3)</v>
      </c>
      <c r="F8" s="10"/>
      <c r="G8" s="10"/>
    </row>
    <row r="11" spans="2:7" x14ac:dyDescent="0.25">
      <c r="B11" s="5" t="s">
        <v>5</v>
      </c>
    </row>
    <row r="12" spans="2:7" x14ac:dyDescent="0.25">
      <c r="B12" s="2" t="s">
        <v>6</v>
      </c>
      <c r="C12" s="2">
        <f>COUNTIF(B6:B10,"&lt;&gt;"&amp;"")</f>
        <v>3</v>
      </c>
    </row>
    <row r="13" spans="2:7" x14ac:dyDescent="0.25">
      <c r="B13" s="2" t="s">
        <v>7</v>
      </c>
      <c r="C13" s="2">
        <f>C12-1</f>
        <v>2</v>
      </c>
    </row>
    <row r="15" spans="2:7" x14ac:dyDescent="0.25">
      <c r="B15" s="6" t="s">
        <v>8</v>
      </c>
      <c r="D15" s="4" t="s">
        <v>9</v>
      </c>
      <c r="E15" s="4" t="s">
        <v>10</v>
      </c>
      <c r="F15" s="4" t="s">
        <v>11</v>
      </c>
    </row>
    <row r="16" spans="2:7" x14ac:dyDescent="0.25">
      <c r="B16" s="2" t="s">
        <v>12</v>
      </c>
      <c r="C16" s="7">
        <f>F5</f>
        <v>2.5</v>
      </c>
      <c r="D16" s="2">
        <f xml:space="preserve"> ( ($F$5 - B7) / (B6 - B7) ) * ( ($F$5 - B8) / (B6 - B8) )</f>
        <v>0.15625</v>
      </c>
      <c r="E16" s="2">
        <f xml:space="preserve"> ( ($F$5 - B6) / (B7 - B6) ) * ( ($F$5 - B8) / (B7 - B8) )</f>
        <v>0.9375</v>
      </c>
      <c r="F16" s="2">
        <f xml:space="preserve"> ( ($F$5 - B6) / (B8 - B6) ) * ( ($F$5 - B7) / (B8 - B7) )</f>
        <v>-9.375E-2</v>
      </c>
    </row>
    <row r="18" spans="2:4" x14ac:dyDescent="0.25">
      <c r="B18" s="5" t="s">
        <v>13</v>
      </c>
    </row>
    <row r="19" spans="2:4" x14ac:dyDescent="0.25">
      <c r="B19" s="2" t="s">
        <v>16</v>
      </c>
      <c r="C19" s="15">
        <f xml:space="preserve"> C6*D16 + C7*E16 + C8*F16</f>
        <v>4.25</v>
      </c>
    </row>
    <row r="21" spans="2:4" x14ac:dyDescent="0.25">
      <c r="B21" s="5" t="s">
        <v>14</v>
      </c>
    </row>
    <row r="22" spans="2:4" x14ac:dyDescent="0.25">
      <c r="B22" s="1" t="str">
        <f xml:space="preserve"> "(x-" &amp; B7 &amp; ")*(x-" &amp; B8 &amp; ")/(" &amp; B6 &amp; "-" &amp; B7 &amp; ")/(" &amp; B6 &amp; "-" &amp; B8 &amp; ")"</f>
        <v>(x-3)*(x-5)/(1-3)/(1-5)</v>
      </c>
      <c r="C22" s="1" t="str">
        <f xml:space="preserve"> "(x-" &amp; B6 &amp; ")*(x-" &amp; B8 &amp; ")/(" &amp; B7 &amp; "-" &amp; B6 &amp; ")/(" &amp; B7 &amp; "-" &amp; B8 &amp; ")"</f>
        <v>(x-1)*(x-5)/(3-1)/(3-5)</v>
      </c>
      <c r="D22" s="1" t="str">
        <f xml:space="preserve"> "(x-" &amp; B6 &amp; ")*(x-" &amp; B7 &amp; ")/(" &amp; B8 &amp; "-" &amp; B6 &amp; ")/(" &amp; B8 &amp; "-" &amp; B7 &amp; ")"</f>
        <v>(x-1)*(x-3)/(5-1)/(5-3)</v>
      </c>
    </row>
    <row r="23" spans="2:4" x14ac:dyDescent="0.25">
      <c r="B23" s="8" t="s">
        <v>15</v>
      </c>
    </row>
    <row r="24" spans="2:4" x14ac:dyDescent="0.25">
      <c r="B24" s="11" t="str">
        <f xml:space="preserve"> C6 &amp; "*[" &amp; B22 &amp; "] + " &amp; C7 &amp; "*[" &amp; C22 &amp; "] + " &amp; C8 &amp; "*[" &amp; D22 &amp; "]"</f>
        <v>2*[(x-3)*(x-5)/(1-3)/(1-5)] + 5*[(x-1)*(x-5)/(3-1)/(3-5)] + 8*[(x-1)*(x-3)/(5-1)/(5-3)]</v>
      </c>
      <c r="C24" s="11"/>
      <c r="D24" s="11"/>
    </row>
    <row r="26" spans="2:4" x14ac:dyDescent="0.25">
      <c r="B26" s="12" t="s">
        <v>17</v>
      </c>
      <c r="C26" s="13"/>
    </row>
    <row r="27" spans="2:4" x14ac:dyDescent="0.25">
      <c r="B27" s="9" t="s">
        <v>18</v>
      </c>
      <c r="C27" s="9" t="s">
        <v>19</v>
      </c>
      <c r="D27" s="9" t="s">
        <v>20</v>
      </c>
    </row>
    <row r="28" spans="2:4" x14ac:dyDescent="0.25">
      <c r="B28" s="2">
        <f xml:space="preserve"> C6 / ((B6-B7)*(B6-B8))</f>
        <v>0.25</v>
      </c>
      <c r="C28" s="2">
        <f xml:space="preserve"> C7 / ((B7-B6)*(B7-B8))</f>
        <v>-1.25</v>
      </c>
      <c r="D28" s="2">
        <f xml:space="preserve"> C8 / ((B8-B6)*(B8-B7))</f>
        <v>1</v>
      </c>
    </row>
  </sheetData>
  <mergeCells count="4">
    <mergeCell ref="E8:G8"/>
    <mergeCell ref="B24:D24"/>
    <mergeCell ref="B26:C26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2025-12-10T20:34:54Z</dcterms:created>
  <dcterms:modified xsi:type="dcterms:W3CDTF">2025-12-11T04:34:33Z</dcterms:modified>
</cp:coreProperties>
</file>