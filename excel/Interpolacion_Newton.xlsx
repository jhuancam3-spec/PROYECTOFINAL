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hu\OneDrive\Documentos\"/>
    </mc:Choice>
  </mc:AlternateContent>
  <xr:revisionPtr revIDLastSave="0" documentId="13_ncr:1_{7B6220B3-F830-4F3E-A119-032C7837C1E4}" xr6:coauthVersionLast="47" xr6:coauthVersionMax="47" xr10:uidLastSave="{00000000-0000-0000-0000-000000000000}"/>
  <bookViews>
    <workbookView xWindow="-120" yWindow="-120" windowWidth="20730" windowHeight="11040" xr2:uid="{8976F9A4-0364-4A6F-9BD4-9993582575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21" i="1"/>
  <c r="B25" i="1"/>
  <c r="B26" i="1"/>
  <c r="B23" i="1"/>
  <c r="B22" i="1"/>
  <c r="G9" i="1"/>
  <c r="H9" i="1" l="1"/>
  <c r="B18" i="1"/>
  <c r="B17" i="1"/>
  <c r="G10" i="1"/>
  <c r="H10" i="1" s="1"/>
  <c r="C16" i="1" l="1"/>
  <c r="G11" i="1" s="1"/>
  <c r="H11" i="1" s="1"/>
  <c r="C17" i="1"/>
  <c r="D16" i="1"/>
  <c r="G12" i="1" s="1"/>
  <c r="H12" i="1" s="1"/>
  <c r="H13" i="1"/>
  <c r="H14" i="1" l="1"/>
  <c r="B24" i="1"/>
  <c r="F6" i="1"/>
</calcChain>
</file>

<file path=xl/sharedStrings.xml><?xml version="1.0" encoding="utf-8"?>
<sst xmlns="http://schemas.openxmlformats.org/spreadsheetml/2006/main" count="18" uniqueCount="18">
  <si>
    <t>INTERPOLACIÓN DE NEWTON</t>
  </si>
  <si>
    <t>x</t>
  </si>
  <si>
    <t>y</t>
  </si>
  <si>
    <t>Valor X para interpolar (estimar Y):</t>
  </si>
  <si>
    <t>Orden 1</t>
  </si>
  <si>
    <t>Orden 2</t>
  </si>
  <si>
    <t>Orden 3</t>
  </si>
  <si>
    <t>(b₀ = 1)</t>
  </si>
  <si>
    <t>(b₁ = 3)</t>
  </si>
  <si>
    <t>(b₂ = 1)</t>
  </si>
  <si>
    <t>(b₃ = 0)</t>
  </si>
  <si>
    <t>SUMA TOTAL (Y interpolada):</t>
  </si>
  <si>
    <t>Polinomio interpolante de Newton</t>
  </si>
  <si>
    <t>PUNTOS CONOCIDOS</t>
  </si>
  <si>
    <t>COEFICIENTES DEL POLINOMIO</t>
  </si>
  <si>
    <t>Cálculo término a término</t>
  </si>
  <si>
    <t>RESULTADOS</t>
  </si>
  <si>
    <t>TABLA DE DIFERENCIAS DIVIDIDAS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</si>
</sst>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2" x14ac:knownFonts="1">
    <font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2" borderId="1" xfId="0" applyNumberFormat="1" applyFill="1" applyBorder="1"/>
    <xf numFmtId="0" fontId="0" fillId="0" borderId="0" xfId="0" applyBorder="1" applyAlignment="1">
      <alignment horizontal="right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477C-F190-4BA3-A0F4-7E6A3E2303DB}">
  <dimension ref="B2:I26"/>
  <sheetViews>
    <sheetView tabSelected="1" zoomScale="81" workbookViewId="0">
      <selection activeCell="J19" sqref="J19"/>
    </sheetView>
  </sheetViews>
  <sheetFormatPr baseColWidth="10" defaultRowHeight="15" x14ac:dyDescent="0.25"/>
  <cols>
    <col min="1" max="1" width="9" customWidth="1"/>
    <col min="2" max="2" width="15.85546875" customWidth="1"/>
    <col min="3" max="3" width="16.28515625" customWidth="1"/>
    <col min="6" max="6" width="31.42578125" customWidth="1"/>
    <col min="7" max="7" width="13.5703125" customWidth="1"/>
    <col min="8" max="8" width="13.42578125" customWidth="1"/>
    <col min="10" max="10" width="19.85546875" customWidth="1"/>
    <col min="11" max="11" width="21.5703125" customWidth="1"/>
  </cols>
  <sheetData>
    <row r="2" spans="2:9" ht="15.75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ht="15.75" x14ac:dyDescent="0.25">
      <c r="B3" s="5"/>
      <c r="C3" s="5"/>
      <c r="D3" s="5"/>
      <c r="E3" s="5"/>
      <c r="F3" s="5"/>
      <c r="G3" s="5"/>
      <c r="H3" s="5"/>
      <c r="I3" s="5"/>
    </row>
    <row r="4" spans="2:9" x14ac:dyDescent="0.25">
      <c r="B4" s="2" t="s">
        <v>13</v>
      </c>
      <c r="C4" s="2"/>
    </row>
    <row r="5" spans="2:9" x14ac:dyDescent="0.25">
      <c r="B5" s="3" t="s">
        <v>1</v>
      </c>
      <c r="C5" s="3" t="s">
        <v>2</v>
      </c>
      <c r="F5" s="7" t="s">
        <v>12</v>
      </c>
    </row>
    <row r="6" spans="2:9" x14ac:dyDescent="0.25">
      <c r="B6" s="4">
        <v>1</v>
      </c>
      <c r="C6" s="4">
        <v>1</v>
      </c>
      <c r="F6" s="8" t="str">
        <f>G9 &amp; " + " &amp;
ROUND(G10,4) &amp; "(x - " &amp; B6 &amp; ") + " &amp;
ROUND(G11,4) &amp; "(x - " &amp; B6 &amp; ")(x - " &amp; B7 &amp; ") + " &amp;
ROUND(G12,4) &amp; "(x - " &amp; B6 &amp; ")(x - " &amp; B7 &amp; ")(x - " &amp; B8 &amp; ")"</f>
        <v>1 + 3(x - 1) + 1(x - 1)(x - 2) + 0(x - 1)(x - 2)(x - 3)</v>
      </c>
      <c r="G6" s="9"/>
    </row>
    <row r="7" spans="2:9" x14ac:dyDescent="0.25">
      <c r="B7" s="4">
        <v>2</v>
      </c>
      <c r="C7" s="4">
        <v>4</v>
      </c>
    </row>
    <row r="8" spans="2:9" x14ac:dyDescent="0.25">
      <c r="B8" s="4">
        <v>3</v>
      </c>
      <c r="C8" s="4">
        <v>9</v>
      </c>
      <c r="F8" s="6" t="s">
        <v>14</v>
      </c>
      <c r="G8" s="6" t="s">
        <v>15</v>
      </c>
      <c r="H8" s="6"/>
    </row>
    <row r="9" spans="2:9" x14ac:dyDescent="0.25">
      <c r="B9" s="4">
        <v>4</v>
      </c>
      <c r="C9" s="4">
        <v>16</v>
      </c>
      <c r="F9" s="4" t="s">
        <v>7</v>
      </c>
      <c r="G9" s="4">
        <f>C6</f>
        <v>1</v>
      </c>
      <c r="H9" s="4">
        <f>G9</f>
        <v>1</v>
      </c>
    </row>
    <row r="10" spans="2:9" x14ac:dyDescent="0.25">
      <c r="F10" s="4" t="s">
        <v>8</v>
      </c>
      <c r="G10" s="4">
        <f>B16</f>
        <v>3</v>
      </c>
      <c r="H10" s="4">
        <f>G10 * ($D$12 - B6)</f>
        <v>4.5</v>
      </c>
    </row>
    <row r="11" spans="2:9" x14ac:dyDescent="0.25">
      <c r="F11" s="4" t="s">
        <v>9</v>
      </c>
      <c r="G11" s="4">
        <f>C16</f>
        <v>1</v>
      </c>
      <c r="H11" s="4">
        <f>G11 * ($D$12 - B6) * ($D$12 - B7)</f>
        <v>0.75</v>
      </c>
    </row>
    <row r="12" spans="2:9" x14ac:dyDescent="0.25">
      <c r="B12" s="2" t="s">
        <v>3</v>
      </c>
      <c r="C12" s="2"/>
      <c r="D12" s="4">
        <v>2.5</v>
      </c>
      <c r="F12" s="4" t="s">
        <v>10</v>
      </c>
      <c r="G12" s="4">
        <f>D16</f>
        <v>0</v>
      </c>
      <c r="H12" s="4">
        <f>G12 * ($D$12 - B6) * ($D$12 - B7) * ($D$12 - B8)</f>
        <v>0</v>
      </c>
    </row>
    <row r="13" spans="2:9" x14ac:dyDescent="0.25">
      <c r="F13" s="10" t="s">
        <v>11</v>
      </c>
      <c r="G13" s="10"/>
      <c r="H13" s="11">
        <f>SUM(H9:H12)</f>
        <v>6.25</v>
      </c>
    </row>
    <row r="14" spans="2:9" x14ac:dyDescent="0.25">
      <c r="B14" s="13" t="s">
        <v>17</v>
      </c>
      <c r="C14" s="14"/>
      <c r="D14" s="15"/>
      <c r="F14" s="12"/>
      <c r="G14" s="12"/>
      <c r="H14" t="str">
        <f>ROUND(H13,4) &amp; " (Valor interpolado)"</f>
        <v>6,25 (Valor interpolado)</v>
      </c>
    </row>
    <row r="15" spans="2:9" x14ac:dyDescent="0.25">
      <c r="B15" s="6" t="s">
        <v>4</v>
      </c>
      <c r="C15" s="6" t="s">
        <v>5</v>
      </c>
      <c r="D15" s="6" t="s">
        <v>6</v>
      </c>
    </row>
    <row r="16" spans="2:9" x14ac:dyDescent="0.25">
      <c r="B16" s="4">
        <f>IF(B7="", "", (C7-C6)/(B7-B6))</f>
        <v>3</v>
      </c>
      <c r="C16" s="4">
        <f>IF(B8="", "", (B17-B16)/(B8-B6))</f>
        <v>1</v>
      </c>
      <c r="D16" s="4">
        <f>IF(B9="", "", (C17-C16)/(B9-B6))</f>
        <v>0</v>
      </c>
    </row>
    <row r="17" spans="2:3" x14ac:dyDescent="0.25">
      <c r="B17" s="4">
        <f>IF(B8="", "", (C8-C7)/(B8-B7))</f>
        <v>5</v>
      </c>
      <c r="C17" s="4">
        <f>IF(B9="", "", (B18-B17)/(B9-B7))</f>
        <v>1</v>
      </c>
    </row>
    <row r="18" spans="2:3" x14ac:dyDescent="0.25">
      <c r="B18" s="4">
        <f>IF(B9="", "", (C9-C8)/(B9-B8))</f>
        <v>7</v>
      </c>
    </row>
    <row r="20" spans="2:3" x14ac:dyDescent="0.25">
      <c r="B20" s="6" t="s">
        <v>16</v>
      </c>
    </row>
    <row r="21" spans="2:3" x14ac:dyDescent="0.25">
      <c r="B21" t="str">
        <f>"Número de puntos: " &amp; COUNT(C6:C9)</f>
        <v>Número de puntos: 4</v>
      </c>
    </row>
    <row r="22" spans="2:3" x14ac:dyDescent="0.25">
      <c r="B22" t="str">
        <f>"Puntos dados: (1,1), (2,4), (3,9), (4,16)"</f>
        <v>Puntos dados: (1,1), (2,4), (3,9), (4,16)</v>
      </c>
    </row>
    <row r="23" spans="2:3" x14ac:dyDescent="0.25">
      <c r="B23" t="str">
        <f>"Valor a interpolar (X): " &amp; D12</f>
        <v>Valor a interpolar (X): 2,5</v>
      </c>
    </row>
    <row r="24" spans="2:3" x14ac:dyDescent="0.25">
      <c r="B24" t="str">
        <f>"Valor interpolado (Y): " &amp; ROUND(H13,4)</f>
        <v>Valor interpolado (Y): 6,25</v>
      </c>
    </row>
    <row r="25" spans="2:3" x14ac:dyDescent="0.25">
      <c r="B25" t="str">
        <f>"Grado del polinomio: " &amp; (COUNT(B6:B9)-1)</f>
        <v>Grado del polinomio: 3</v>
      </c>
    </row>
    <row r="26" spans="2:3" x14ac:dyDescent="0.25">
      <c r="B26" t="str">
        <f>"Interpretación: El polinomio pasa exactamente por todos los puntos dados."</f>
        <v>Interpretación: El polinomio pasa exactamente por todos los puntos dados.</v>
      </c>
    </row>
  </sheetData>
  <mergeCells count="6">
    <mergeCell ref="B2:I2"/>
    <mergeCell ref="B4:C4"/>
    <mergeCell ref="B12:C12"/>
    <mergeCell ref="F6:G6"/>
    <mergeCell ref="F13:G13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 Aracely Huanca Mamani</dc:creator>
  <cp:lastModifiedBy>Jaquelin Aracely Huanca Mamani</cp:lastModifiedBy>
  <dcterms:created xsi:type="dcterms:W3CDTF">2025-12-10T20:35:24Z</dcterms:created>
  <dcterms:modified xsi:type="dcterms:W3CDTF">2025-12-11T04:12:35Z</dcterms:modified>
</cp:coreProperties>
</file>