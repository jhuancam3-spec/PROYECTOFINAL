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hu\OneDrive\Documentos\"/>
    </mc:Choice>
  </mc:AlternateContent>
  <xr:revisionPtr revIDLastSave="0" documentId="8_{A0C7C2A4-E6BE-43EF-A17C-CA1F1FEAD86F}" xr6:coauthVersionLast="47" xr6:coauthVersionMax="47" xr10:uidLastSave="{00000000-0000-0000-0000-000000000000}"/>
  <bookViews>
    <workbookView xWindow="-120" yWindow="-120" windowWidth="20730" windowHeight="11040" xr2:uid="{42037659-E488-4975-8B0E-44B3202B32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9" i="1"/>
  <c r="G8" i="1"/>
  <c r="G7" i="1"/>
  <c r="G6" i="1"/>
  <c r="G5" i="1"/>
  <c r="G12" i="1" l="1"/>
  <c r="G23" i="1" l="1"/>
  <c r="G22" i="1"/>
  <c r="G14" i="1"/>
  <c r="G19" i="1"/>
  <c r="G13" i="1"/>
  <c r="G15" i="1" s="1" a="1"/>
  <c r="G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<sst xmlns="http://schemas.openxmlformats.org/spreadsheetml/2006/main" count="24" uniqueCount="24">
  <si>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REGRESIÓN LINEAL - TENDENCIA DE CRECIMIENTO POBLACIONAL</t>
  </si>
  <si>
    <t>DATOS HISTÓRICOS</t>
  </si>
  <si>
    <t xml:space="preserve">	Año (X)</t>
  </si>
  <si>
    <t>Población (Y)</t>
  </si>
  <si>
    <t>AÑO A PREDECIR</t>
  </si>
  <si>
    <t>CÁLCULOS INTERMEDIOS</t>
  </si>
  <si>
    <t>Número de puntos (n):</t>
  </si>
  <si>
    <t>Suma de X (ΣX):</t>
  </si>
  <si>
    <t>Suma de Y (ΣY):</t>
  </si>
  <si>
    <t>Suma de XY (ΣXY):</t>
  </si>
  <si>
    <t>Suma de X² (ΣX²):</t>
  </si>
  <si>
    <t>RESULTADOS DE REGRESIÓN</t>
  </si>
  <si>
    <t>Pendiente (m):</t>
  </si>
  <si>
    <t>Intercepto (b):</t>
  </si>
  <si>
    <t>Ecuación de regresión:</t>
  </si>
  <si>
    <t>Coeficiente R²:</t>
  </si>
  <si>
    <t>PREDICCIÓN POBLACIONAL</t>
  </si>
  <si>
    <t>Para el año:</t>
  </si>
  <si>
    <t>Población estimada:</t>
  </si>
  <si>
    <t>ANÁLISIS DE CRECIMIENTO</t>
  </si>
  <si>
    <t>Tasa de crecimiento anual:</t>
  </si>
  <si>
    <t>Crecimiento por década:</t>
  </si>
  <si>
    <t xml:space="preserve">&lt; -- Si gusta puede agregar </t>
  </si>
  <si>
    <t xml:space="preserve">          mas datos en las filas vacias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</si>
</sst>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3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29A0-D595-4CB8-8DD2-3BF8964BA1F0}">
  <dimension ref="B2:G23"/>
  <sheetViews>
    <sheetView tabSelected="1" zoomScale="92" workbookViewId="0">
      <selection activeCell="K11" sqref="K11"/>
    </sheetView>
  </sheetViews>
  <sheetFormatPr baseColWidth="10" defaultRowHeight="15" x14ac:dyDescent="0.25"/>
  <cols>
    <col min="2" max="2" width="19.7109375" customWidth="1"/>
    <col min="3" max="3" width="14.140625" customWidth="1"/>
    <col min="5" max="5" width="16.5703125" customWidth="1"/>
    <col min="6" max="6" width="25.42578125" customWidth="1"/>
    <col min="7" max="7" width="16" customWidth="1"/>
  </cols>
  <sheetData>
    <row r="2" spans="2:7" ht="15.75" x14ac:dyDescent="0.25">
      <c r="B2" s="1" t="s">
        <v>0</v>
      </c>
      <c r="C2" s="1"/>
      <c r="D2" s="1"/>
      <c r="E2" s="1"/>
      <c r="F2" s="1"/>
      <c r="G2" s="1"/>
    </row>
    <row r="4" spans="2:7" x14ac:dyDescent="0.25">
      <c r="B4" s="5" t="s">
        <v>1</v>
      </c>
      <c r="F4" s="3" t="s">
        <v>5</v>
      </c>
    </row>
    <row r="5" spans="2:7" x14ac:dyDescent="0.25">
      <c r="B5" s="4" t="s">
        <v>2</v>
      </c>
      <c r="C5" s="4" t="s">
        <v>3</v>
      </c>
      <c r="F5" t="s">
        <v>6</v>
      </c>
      <c r="G5">
        <f>COUNTIF(B6:B14,"&lt;&gt;"&amp;"")</f>
        <v>3</v>
      </c>
    </row>
    <row r="6" spans="2:7" x14ac:dyDescent="0.25">
      <c r="B6" s="2">
        <v>2010</v>
      </c>
      <c r="C6" s="2">
        <v>50000</v>
      </c>
      <c r="F6" t="s">
        <v>7</v>
      </c>
      <c r="G6">
        <f>SUM(B6:B14)</f>
        <v>6045</v>
      </c>
    </row>
    <row r="7" spans="2:7" x14ac:dyDescent="0.25">
      <c r="B7" s="2">
        <v>2015</v>
      </c>
      <c r="C7" s="2">
        <v>52000</v>
      </c>
      <c r="F7" t="s">
        <v>8</v>
      </c>
      <c r="G7">
        <f>SUM(C6:C14)</f>
        <v>157000</v>
      </c>
    </row>
    <row r="8" spans="2:7" x14ac:dyDescent="0.25">
      <c r="B8" s="2">
        <v>2020</v>
      </c>
      <c r="C8" s="2">
        <v>55000</v>
      </c>
      <c r="F8" t="s">
        <v>9</v>
      </c>
      <c r="G8">
        <f>SUMPRODUCT(B6:B14,C6:C14)</f>
        <v>316380000</v>
      </c>
    </row>
    <row r="9" spans="2:7" x14ac:dyDescent="0.25">
      <c r="B9" s="2"/>
      <c r="C9" s="2"/>
      <c r="D9" t="s">
        <v>22</v>
      </c>
      <c r="F9" t="s">
        <v>10</v>
      </c>
      <c r="G9">
        <f>SUMPRODUCT(B6:B14,B6:B14)</f>
        <v>12180725</v>
      </c>
    </row>
    <row r="10" spans="2:7" x14ac:dyDescent="0.25">
      <c r="B10" s="2"/>
      <c r="C10" s="2"/>
      <c r="D10" t="s">
        <v>23</v>
      </c>
    </row>
    <row r="11" spans="2:7" x14ac:dyDescent="0.25">
      <c r="B11" s="2"/>
      <c r="C11" s="2"/>
      <c r="F11" s="3" t="s">
        <v>11</v>
      </c>
    </row>
    <row r="12" spans="2:7" x14ac:dyDescent="0.25">
      <c r="B12" s="2"/>
      <c r="C12" s="2"/>
      <c r="F12" t="s">
        <v>12</v>
      </c>
      <c r="G12">
        <f>(G5*G8-G6*G7)/(G5*G9-G6^2)</f>
        <v>500</v>
      </c>
    </row>
    <row r="13" spans="2:7" x14ac:dyDescent="0.25">
      <c r="B13" s="2"/>
      <c r="C13" s="2"/>
      <c r="F13" t="s">
        <v>13</v>
      </c>
      <c r="G13">
        <f>(G7-G12*G6)/G5</f>
        <v>-955166.66666666663</v>
      </c>
    </row>
    <row r="14" spans="2:7" x14ac:dyDescent="0.25">
      <c r="B14" s="2"/>
      <c r="C14" s="2"/>
      <c r="F14" t="s">
        <v>14</v>
      </c>
      <c r="G14" t="str">
        <f>"Población = "&amp;TEXT(G12,"0")&amp;" * Año + "&amp;TEXT(G13,"0")</f>
        <v>Población = 500 * Año + -955167</v>
      </c>
    </row>
    <row r="15" spans="2:7" x14ac:dyDescent="0.25">
      <c r="F15" t="s">
        <v>15</v>
      </c>
      <c r="G15" cm="1">
        <f t="array" ref="G15">1-(SUMPRODUCT((C6:INDEX(C6:C14,G5)-(G12*B6:INDEX(B6:B14,G5)+G13))^2)/SUMPRODUCT((C6:INDEX(C6:C14,G5)-AVERAGE(C6:INDEX(C6:C14,G5)))^2))</f>
        <v>0.98684210526315785</v>
      </c>
    </row>
    <row r="16" spans="2:7" x14ac:dyDescent="0.25">
      <c r="B16" s="3" t="s">
        <v>4</v>
      </c>
      <c r="C16" s="2">
        <v>2025</v>
      </c>
    </row>
    <row r="17" spans="6:7" x14ac:dyDescent="0.25">
      <c r="F17" s="3" t="s">
        <v>16</v>
      </c>
    </row>
    <row r="18" spans="6:7" x14ac:dyDescent="0.25">
      <c r="F18" s="2" t="s">
        <v>17</v>
      </c>
      <c r="G18" s="2">
        <f>C16</f>
        <v>2025</v>
      </c>
    </row>
    <row r="19" spans="6:7" x14ac:dyDescent="0.25">
      <c r="F19" s="6" t="s">
        <v>18</v>
      </c>
      <c r="G19" s="6">
        <f>G12*C16+G13</f>
        <v>57333.333333333372</v>
      </c>
    </row>
    <row r="21" spans="6:7" x14ac:dyDescent="0.25">
      <c r="F21" s="7" t="s">
        <v>19</v>
      </c>
    </row>
    <row r="22" spans="6:7" x14ac:dyDescent="0.25">
      <c r="F22" s="2" t="s">
        <v>20</v>
      </c>
      <c r="G22" s="2">
        <f>G12/AVERAGE(C6:C8)*100</f>
        <v>0.95541401273885351</v>
      </c>
    </row>
    <row r="23" spans="6:7" x14ac:dyDescent="0.25">
      <c r="F23" s="2" t="s">
        <v>21</v>
      </c>
      <c r="G23" s="2">
        <f>G12*10</f>
        <v>5000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 Aracely Huanca Mamani</dc:creator>
  <cp:lastModifiedBy>Jaquelin Aracely Huanca Mamani</cp:lastModifiedBy>
  <dcterms:created xsi:type="dcterms:W3CDTF">2025-12-10T20:16:45Z</dcterms:created>
  <dcterms:modified xsi:type="dcterms:W3CDTF">2025-12-10T20:32:37Z</dcterms:modified>
</cp:coreProperties>
</file>