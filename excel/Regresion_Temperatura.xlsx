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Documentos\"/>
    </mc:Choice>
  </mc:AlternateContent>
  <xr:revisionPtr revIDLastSave="0" documentId="8_{1182E394-E57F-4D6C-B764-567BD765FC55}" xr6:coauthVersionLast="47" xr6:coauthVersionMax="47" xr10:uidLastSave="{00000000-0000-0000-0000-000000000000}"/>
  <bookViews>
    <workbookView xWindow="-105" yWindow="0" windowWidth="12510" windowHeight="10905" xr2:uid="{8A3EE3B0-0FBE-437B-BE5A-ABB00DA53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H16" i="1" s="1"/>
  <c r="H9" i="1"/>
  <c r="H8" i="1"/>
  <c r="H7" i="1"/>
  <c r="H6" i="1"/>
  <c r="H5" i="1"/>
  <c r="H10" i="1" l="1"/>
  <c r="H11" i="1" s="1"/>
  <c r="H12" i="1" l="1"/>
  <c r="H13" i="1" a="1"/>
  <c r="H13" i="1" s="1"/>
  <c r="H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<sst xmlns="http://schemas.openxmlformats.org/spreadsheetml/2006/main" count="20" uniqueCount="20">
  <si>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REGRESIÓN LINEAL - PREDICCIÓN DE TEMPERATURA</t>
  </si>
  <si>
    <t>DATOS DE ENTRADA</t>
  </si>
  <si>
    <t>RESULTADOS</t>
  </si>
  <si>
    <t>Número de puntos (n):</t>
  </si>
  <si>
    <t>Suma de X (ΣX):</t>
  </si>
  <si>
    <t>Suma de Y (ΣY):</t>
  </si>
  <si>
    <t>Suma de XY (ΣXY):</t>
  </si>
  <si>
    <t>Suma de X² (ΣX²):</t>
  </si>
  <si>
    <t>Pendiente (m):</t>
  </si>
  <si>
    <t>Intercepto (b):</t>
  </si>
  <si>
    <t>Ecuación de regresión:</t>
  </si>
  <si>
    <t>Coeficiente R²:</t>
  </si>
  <si>
    <t>TEMPERATURA PREDICHA</t>
  </si>
  <si>
    <t>Para la hora:</t>
  </si>
  <si>
    <t>Hora (x)</t>
  </si>
  <si>
    <t>Temperatura °C (y)</t>
  </si>
  <si>
    <t>HORA A PREDECIR:</t>
  </si>
  <si>
    <t>Temperatura estimada es:</t>
  </si>
  <si>
    <t xml:space="preserve">&lt; -- Si gusta puede agregar </t>
  </si>
  <si>
    <t xml:space="preserve">          mas datos en las filas 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</si>
</sst>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Segoe UI"/>
      <family val="2"/>
    </font>
    <font>
      <b/>
      <sz val="11"/>
      <color rgb="FF0F111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3" fillId="0" borderId="2" xfId="0" applyFont="1" applyBorder="1"/>
    <xf numFmtId="0" fontId="0" fillId="0" borderId="1" xfId="0" applyBorder="1"/>
    <xf numFmtId="0" fontId="0" fillId="2" borderId="4" xfId="0" applyFill="1" applyBorder="1"/>
    <xf numFmtId="0" fontId="0" fillId="0" borderId="3" xfId="0" applyBorder="1"/>
    <xf numFmtId="0" fontId="0" fillId="3" borderId="6" xfId="0" applyFill="1" applyBorder="1"/>
    <xf numFmtId="0" fontId="0" fillId="3" borderId="5" xfId="0" applyFill="1" applyBorder="1"/>
    <xf numFmtId="0" fontId="0" fillId="2" borderId="1" xfId="0" applyFill="1" applyBorder="1"/>
    <xf numFmtId="0" fontId="3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AD57-950E-4DC0-8728-B2B6BD971F5F}">
  <dimension ref="B2:H17"/>
  <sheetViews>
    <sheetView tabSelected="1" zoomScale="79" workbookViewId="0">
      <selection activeCell="E22" sqref="E22"/>
    </sheetView>
  </sheetViews>
  <sheetFormatPr baseColWidth="10" defaultRowHeight="15" x14ac:dyDescent="0.25"/>
  <cols>
    <col min="2" max="2" width="25.7109375" customWidth="1"/>
    <col min="3" max="3" width="22.28515625" customWidth="1"/>
    <col min="7" max="7" width="29" customWidth="1"/>
    <col min="8" max="8" width="20.7109375" customWidth="1"/>
    <col min="9" max="9" width="28" customWidth="1"/>
    <col min="10" max="10" width="15.7109375" customWidth="1"/>
  </cols>
  <sheetData>
    <row r="2" spans="2:8" ht="16.5" x14ac:dyDescent="0.3">
      <c r="B2" s="1" t="s">
        <v>0</v>
      </c>
      <c r="C2" s="1"/>
      <c r="D2" s="1"/>
      <c r="E2" s="1"/>
      <c r="F2" s="1"/>
      <c r="G2" s="1"/>
      <c r="H2" s="1"/>
    </row>
    <row r="4" spans="2:8" x14ac:dyDescent="0.25">
      <c r="B4" s="9" t="s">
        <v>1</v>
      </c>
      <c r="G4" s="11" t="s">
        <v>2</v>
      </c>
    </row>
    <row r="5" spans="2:8" x14ac:dyDescent="0.25">
      <c r="B5" s="10" t="s">
        <v>14</v>
      </c>
      <c r="C5" s="10" t="s">
        <v>15</v>
      </c>
      <c r="G5" t="s">
        <v>3</v>
      </c>
      <c r="H5">
        <f>COUNTIF(B6:B14,"&lt;&gt;"&amp;"")</f>
        <v>3</v>
      </c>
    </row>
    <row r="6" spans="2:8" x14ac:dyDescent="0.25">
      <c r="B6" s="3">
        <v>8</v>
      </c>
      <c r="C6" s="3">
        <v>18</v>
      </c>
      <c r="G6" t="s">
        <v>4</v>
      </c>
      <c r="H6">
        <f>SUM(B6:B14)</f>
        <v>36</v>
      </c>
    </row>
    <row r="7" spans="2:8" x14ac:dyDescent="0.25">
      <c r="B7" s="3">
        <v>12</v>
      </c>
      <c r="C7" s="3">
        <v>22</v>
      </c>
      <c r="G7" t="s">
        <v>5</v>
      </c>
      <c r="H7">
        <f>SUM(C6:C14)</f>
        <v>60</v>
      </c>
    </row>
    <row r="8" spans="2:8" x14ac:dyDescent="0.25">
      <c r="B8" s="3">
        <v>16</v>
      </c>
      <c r="C8" s="3">
        <v>20</v>
      </c>
      <c r="G8" t="s">
        <v>6</v>
      </c>
      <c r="H8">
        <f>SUMPRODUCT(B6:B14,C6:C14)</f>
        <v>728</v>
      </c>
    </row>
    <row r="9" spans="2:8" x14ac:dyDescent="0.25">
      <c r="B9" s="3"/>
      <c r="C9" s="3"/>
      <c r="D9" t="s">
        <v>18</v>
      </c>
      <c r="G9" t="s">
        <v>7</v>
      </c>
      <c r="H9">
        <f>SUMPRODUCT(B6:B14,B6:B14)</f>
        <v>464</v>
      </c>
    </row>
    <row r="10" spans="2:8" x14ac:dyDescent="0.25">
      <c r="B10" s="3"/>
      <c r="C10" s="3"/>
      <c r="D10" t="s">
        <v>19</v>
      </c>
      <c r="G10" t="s">
        <v>8</v>
      </c>
      <c r="H10">
        <f>(H5*H8-H6*H7)/(H5*H9-H6^2)</f>
        <v>0.25</v>
      </c>
    </row>
    <row r="11" spans="2:8" x14ac:dyDescent="0.25">
      <c r="B11" s="3"/>
      <c r="C11" s="3"/>
      <c r="G11" t="s">
        <v>9</v>
      </c>
      <c r="H11">
        <f>(H7-H10*H6)/H5</f>
        <v>17</v>
      </c>
    </row>
    <row r="12" spans="2:8" x14ac:dyDescent="0.25">
      <c r="B12" s="3"/>
      <c r="C12" s="3"/>
      <c r="G12" t="s">
        <v>10</v>
      </c>
      <c r="H12" t="str">
        <f>"Temperatura = "&amp;TEXT(H10,"0.0000")&amp;" * Hora + "&amp;TEXT(H11,"0.0000")</f>
        <v>Temperatura = 00.000 * Hora + 00.017</v>
      </c>
    </row>
    <row r="13" spans="2:8" x14ac:dyDescent="0.25">
      <c r="B13" s="3"/>
      <c r="C13" s="3"/>
      <c r="G13" t="s">
        <v>11</v>
      </c>
      <c r="H13" cm="1">
        <f t="array" ref="H13">1-(SUMPRODUCT((C6:INDEX(C6:C14,COUNT(B6:B14))-(H10*B6:INDEX(B6:B14,COUNT(B6:B14))+H11))^2)/SUMPRODUCT((C6:INDEX(C6:C14,COUNT(B6:B14))-AVERAGE(C6:INDEX(C6:C14,COUNT(B6:B14))))^2))</f>
        <v>0.25</v>
      </c>
    </row>
    <row r="14" spans="2:8" x14ac:dyDescent="0.25">
      <c r="B14" s="3"/>
      <c r="C14" s="3"/>
    </row>
    <row r="15" spans="2:8" x14ac:dyDescent="0.25">
      <c r="G15" s="4" t="s">
        <v>12</v>
      </c>
    </row>
    <row r="16" spans="2:8" x14ac:dyDescent="0.25">
      <c r="B16" s="2" t="s">
        <v>16</v>
      </c>
      <c r="C16" s="8">
        <f>14</f>
        <v>14</v>
      </c>
      <c r="G16" s="3" t="s">
        <v>13</v>
      </c>
      <c r="H16" s="5">
        <f>C16</f>
        <v>14</v>
      </c>
    </row>
    <row r="17" spans="7:8" x14ac:dyDescent="0.25">
      <c r="G17" s="6" t="s">
        <v>17</v>
      </c>
      <c r="H17" s="7">
        <f>H10*C16+H11</f>
        <v>20.5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2025-12-10T19:43:47Z</dcterms:created>
  <dcterms:modified xsi:type="dcterms:W3CDTF">2025-12-10T20:14:50Z</dcterms:modified>
</cp:coreProperties>
</file>